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SP32\GameController\"/>
    </mc:Choice>
  </mc:AlternateContent>
  <xr:revisionPtr revIDLastSave="0" documentId="8_{F3A8D578-12D5-4C00-ADBB-20C8001F1A29}" xr6:coauthVersionLast="47" xr6:coauthVersionMax="47" xr10:uidLastSave="{00000000-0000-0000-0000-000000000000}"/>
  <bookViews>
    <workbookView xWindow="-110" yWindow="-110" windowWidth="19420" windowHeight="10300" xr2:uid="{78AB16C7-43AD-4A14-891C-F63C8D2A56C0}"/>
  </bookViews>
  <sheets>
    <sheet name="version-1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B18" i="1"/>
  <c r="A14" i="1"/>
</calcChain>
</file>

<file path=xl/sharedStrings.xml><?xml version="1.0" encoding="utf-8"?>
<sst xmlns="http://schemas.openxmlformats.org/spreadsheetml/2006/main" count="34" uniqueCount="26">
  <si>
    <t>Component</t>
  </si>
  <si>
    <t>Quantity</t>
  </si>
  <si>
    <t>Supplier</t>
  </si>
  <si>
    <t>DigiKey</t>
  </si>
  <si>
    <t>Price Per Item ($)</t>
  </si>
  <si>
    <t>COM-09302 SparkFun joystick</t>
  </si>
  <si>
    <t>Standard 6 mm pushbutton</t>
  </si>
  <si>
    <t>1K resistor</t>
  </si>
  <si>
    <t>10K resistor</t>
  </si>
  <si>
    <t>3mm LED</t>
  </si>
  <si>
    <t>Link</t>
  </si>
  <si>
    <t>https://www.digikey.com/en/products/detail/sparkfun-electronics/COM-09032/6823623</t>
  </si>
  <si>
    <t>https://www.digikey.com/en/products/detail/tt-electronics-optek-technology/OVLBB4C7/827109</t>
  </si>
  <si>
    <t>100nF capacitor</t>
  </si>
  <si>
    <t>Amazon</t>
  </si>
  <si>
    <t>12mm pushbutton</t>
  </si>
  <si>
    <t>15 pin header (female to male) 0.1" spacing</t>
  </si>
  <si>
    <t>https://www.digikey.com/en/products/detail/sullins-connector-solutions/PPTC151LFBN-RC/810153</t>
  </si>
  <si>
    <t>ESP32 Board</t>
  </si>
  <si>
    <t>PCB</t>
  </si>
  <si>
    <t>JLCPCB</t>
  </si>
  <si>
    <t>https://www.digikey.com/en/products/detail/yageo/MFR-25FRF52-10K/14626</t>
  </si>
  <si>
    <t>Shipping costs ($):</t>
  </si>
  <si>
    <t>Total components cost ($):</t>
  </si>
  <si>
    <t>Total Cost w/o Shipping:</t>
  </si>
  <si>
    <t>Total Cost w/ Shipping: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</si>
</sst>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2" fontId="0" fillId="0" borderId="0" xfId="1" applyNumberFormat="1" applyFont="1" applyAlignment="1">
      <alignment horizontal="left"/>
    </xf>
    <xf numFmtId="0" fontId="3" fillId="0" borderId="0" xfId="2"/>
    <xf numFmtId="165" fontId="0" fillId="0" borderId="0" xfId="1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2" fontId="2" fillId="0" borderId="1" xfId="1" applyNumberFormat="1" applyFont="1" applyBorder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2" fontId="2" fillId="2" borderId="0" xfId="1" applyNumberFormat="1" applyFont="1" applyFill="1" applyAlignment="1">
      <alignment horizontal="left"/>
    </xf>
    <xf numFmtId="2" fontId="2" fillId="2" borderId="0" xfId="0" applyNumberFormat="1" applyFont="1" applyFill="1"/>
    <xf numFmtId="0" fontId="2" fillId="0" borderId="0" xfId="0" applyFont="1" applyFill="1"/>
    <xf numFmtId="2" fontId="2" fillId="0" borderId="0" xfId="0" applyNumberFormat="1" applyFont="1" applyFill="1" applyAlignment="1">
      <alignment horizontal="left"/>
    </xf>
    <xf numFmtId="2" fontId="2" fillId="0" borderId="0" xfId="1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sparkfun-electronics/COM-09032/68236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3C07-DF97-4C41-88F2-33E8A04BFA69}">
  <dimension ref="A1:F19"/>
  <sheetViews>
    <sheetView tabSelected="1" workbookViewId="0">
      <selection activeCell="I14" sqref="I14"/>
    </sheetView>
  </sheetViews>
  <sheetFormatPr defaultRowHeight="14.5" x14ac:dyDescent="0.35"/>
  <cols>
    <col min="1" max="1" width="37.453125" customWidth="1"/>
    <col min="2" max="2" width="9.81640625" style="1" customWidth="1"/>
    <col min="3" max="3" width="16.26953125" style="2" customWidth="1"/>
    <col min="4" max="4" width="11.54296875" style="1" customWidth="1"/>
  </cols>
  <sheetData>
    <row r="1" spans="1:5" s="5" customFormat="1" x14ac:dyDescent="0.35">
      <c r="A1" s="5" t="s">
        <v>0</v>
      </c>
      <c r="B1" s="6" t="s">
        <v>1</v>
      </c>
      <c r="C1" s="7" t="s">
        <v>4</v>
      </c>
      <c r="D1" s="6" t="s">
        <v>2</v>
      </c>
      <c r="E1" s="5" t="s">
        <v>10</v>
      </c>
    </row>
    <row r="2" spans="1:5" x14ac:dyDescent="0.35">
      <c r="A2" t="s">
        <v>5</v>
      </c>
      <c r="B2" s="1">
        <v>1</v>
      </c>
      <c r="C2" s="2">
        <v>4.5</v>
      </c>
      <c r="D2" s="1" t="s">
        <v>3</v>
      </c>
      <c r="E2" s="3" t="s">
        <v>11</v>
      </c>
    </row>
    <row r="3" spans="1:5" x14ac:dyDescent="0.35">
      <c r="A3" t="s">
        <v>6</v>
      </c>
      <c r="B3" s="1">
        <v>2</v>
      </c>
    </row>
    <row r="4" spans="1:5" x14ac:dyDescent="0.35">
      <c r="A4" t="s">
        <v>7</v>
      </c>
      <c r="B4" s="1">
        <v>3</v>
      </c>
    </row>
    <row r="5" spans="1:5" x14ac:dyDescent="0.35">
      <c r="A5" t="s">
        <v>8</v>
      </c>
      <c r="B5" s="1">
        <v>6</v>
      </c>
      <c r="C5" s="4">
        <v>1.4999999999999999E-2</v>
      </c>
      <c r="D5" s="1" t="s">
        <v>3</v>
      </c>
      <c r="E5" t="s">
        <v>21</v>
      </c>
    </row>
    <row r="6" spans="1:5" x14ac:dyDescent="0.35">
      <c r="A6" t="s">
        <v>9</v>
      </c>
      <c r="B6" s="1">
        <v>3</v>
      </c>
      <c r="C6" s="2">
        <v>0.42</v>
      </c>
      <c r="D6" s="1" t="s">
        <v>3</v>
      </c>
      <c r="E6" t="s">
        <v>12</v>
      </c>
    </row>
    <row r="7" spans="1:5" x14ac:dyDescent="0.35">
      <c r="A7" t="s">
        <v>13</v>
      </c>
      <c r="B7" s="1">
        <v>6</v>
      </c>
      <c r="C7" s="4">
        <v>1.7999999999999999E-2</v>
      </c>
      <c r="D7" s="1" t="s">
        <v>14</v>
      </c>
    </row>
    <row r="8" spans="1:5" x14ac:dyDescent="0.35">
      <c r="A8" t="s">
        <v>15</v>
      </c>
      <c r="B8" s="1">
        <v>4</v>
      </c>
      <c r="C8" s="2">
        <v>0.35</v>
      </c>
      <c r="D8" s="1" t="s">
        <v>14</v>
      </c>
    </row>
    <row r="9" spans="1:5" x14ac:dyDescent="0.35">
      <c r="A9" t="s">
        <v>16</v>
      </c>
      <c r="B9" s="1">
        <v>2</v>
      </c>
      <c r="C9" s="2">
        <v>0.89</v>
      </c>
      <c r="D9" s="1" t="s">
        <v>3</v>
      </c>
      <c r="E9" t="s">
        <v>17</v>
      </c>
    </row>
    <row r="10" spans="1:5" x14ac:dyDescent="0.35">
      <c r="A10" t="s">
        <v>18</v>
      </c>
      <c r="B10" s="1">
        <v>1</v>
      </c>
      <c r="C10" s="2">
        <v>4.63</v>
      </c>
      <c r="D10" s="1" t="s">
        <v>14</v>
      </c>
    </row>
    <row r="11" spans="1:5" x14ac:dyDescent="0.35">
      <c r="A11" t="s">
        <v>19</v>
      </c>
      <c r="B11" s="1">
        <v>1</v>
      </c>
      <c r="C11" s="2">
        <v>1.6</v>
      </c>
      <c r="D11" s="1" t="s">
        <v>20</v>
      </c>
    </row>
    <row r="13" spans="1:5" x14ac:dyDescent="0.35">
      <c r="A13" t="s">
        <v>23</v>
      </c>
      <c r="B13" s="1" t="s">
        <v>22</v>
      </c>
    </row>
    <row r="14" spans="1:5" x14ac:dyDescent="0.35">
      <c r="A14" s="1">
        <f>SUMPRODUCT(B1:B12, C1:C12)</f>
        <v>15.367999999999997</v>
      </c>
      <c r="B14" s="1" t="s">
        <v>14</v>
      </c>
      <c r="C14" s="2">
        <v>0</v>
      </c>
    </row>
    <row r="15" spans="1:5" x14ac:dyDescent="0.35">
      <c r="B15" s="1" t="s">
        <v>20</v>
      </c>
      <c r="C15" s="2">
        <v>1.5</v>
      </c>
    </row>
    <row r="16" spans="1:5" x14ac:dyDescent="0.35">
      <c r="B16" s="1" t="s">
        <v>3</v>
      </c>
      <c r="C16" s="2">
        <v>4.99</v>
      </c>
    </row>
    <row r="18" spans="1:6" s="8" customFormat="1" x14ac:dyDescent="0.35">
      <c r="A18" s="8" t="s">
        <v>24</v>
      </c>
      <c r="B18" s="9">
        <f>A14</f>
        <v>15.367999999999997</v>
      </c>
      <c r="C18" s="10"/>
      <c r="D18" s="9" t="s">
        <v>25</v>
      </c>
      <c r="F18" s="11">
        <f>A14+SUM(C14:C16)</f>
        <v>21.857999999999997</v>
      </c>
    </row>
    <row r="19" spans="1:6" s="12" customFormat="1" x14ac:dyDescent="0.35">
      <c r="B19" s="13"/>
      <c r="C19" s="14"/>
      <c r="D19" s="15"/>
    </row>
  </sheetData>
  <hyperlinks>
    <hyperlink ref="E2" r:id="rId1" xr:uid="{4DF798ED-1DAC-4A37-ABE3-A5344849782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version-1.0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Douglas Wagner</dc:creator>
  <cp:lastModifiedBy>Luke Douglas Wagner</cp:lastModifiedBy>
  <dcterms:created xsi:type="dcterms:W3CDTF">2025-03-13T22:16:19Z</dcterms:created>
  <dcterms:modified xsi:type="dcterms:W3CDTF">2025-03-13T22:41:41Z</dcterms:modified>
</cp:coreProperties>
</file>